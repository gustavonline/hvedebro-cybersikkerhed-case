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54304866c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ikoregister" sheetId="1" r:id="R5fdf634462f64263"/>
    <x:sheet xmlns:r="http://schemas.openxmlformats.org/officeDocument/2006/relationships" name="Modenhedsområder" sheetId="2" r:id="R90cf0732a4ac4911"/>
    <x:sheet xmlns:r="http://schemas.openxmlformats.org/officeDocument/2006/relationships" name="CSF-funktioner" sheetId="3" r:id="Rb6a429dab73a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"/>
      <x:name val="Aptos"/>
    </x:font>
    <x:font>
      <x:b/>
      <x:sz val="10"/>
      <x:color rgb="142320"/>
      <x:name val="Aptos"/>
    </x:font>
    <x:font>
      <x:sz val="10"/>
      <x:color rgb="1423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0E5F54"/>
      </x:patternFill>
    </x:fill>
  </x:fills>
  <x:borders count="4">
    <x:border/>
    <x:border/>
    <x:border>
      <x:left style="thin">
        <x:color rgb="D6DED9"/>
      </x:left>
      <x:right style="thin">
        <x:color rgb="D6DED9"/>
      </x:right>
      <x:top style="thin">
        <x:color rgb="D6DED9"/>
      </x:top>
      <x:bottom style="thin">
        <x:color rgb="D6DED9"/>
      </x:bottom>
    </x:border>
    <x:border>
      <x:left style="thin">
        <x:color rgb="D6DED9"/>
      </x:left>
      <x:right style="thin">
        <x:color rgb="D6DED9"/>
      </x:right>
      <x:top style="thin">
        <x:color rgb="D6DED9"/>
      </x:top>
      <x:bottom style="thin">
        <x:color rgb="D6DE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2"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006E5D"/>
      </x:font>
      <x:fill>
        <x:patternFill patternType="solid">
          <x:bgColor rgb="E1F5F0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  <x:dxf>
      <x:font>
        <x:b/>
        <x:color rgb="A12A24"/>
      </x:font>
      <x:fill>
        <x:patternFill patternType="solid">
          <x:bgColor rgb="FCE4E1"/>
        </x:patternFill>
      </x:fill>
    </x:dxf>
    <x:dxf>
      <x:font>
        <x:b/>
        <x:color rgb="8C5700"/>
      </x:font>
      <x:fill>
        <x:patternFill patternType="solid">
          <x:bgColor rgb="FFF0C2"/>
        </x:patternFill>
      </x:fill>
    </x:dxf>
    <x:dxf>
      <x:font>
        <x:b/>
        <x:color rgb="0B6C3F"/>
      </x:font>
      <x:fill>
        <x:patternFill patternType="solid">
          <x:bgColor rgb="DF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b9eb428694efc" /><Relationship Type="http://schemas.openxmlformats.org/officeDocument/2006/relationships/theme" Target="/xl/theme/theme1.xml" Id="R4a48bc3537eb4972" /><Relationship Type="http://schemas.openxmlformats.org/officeDocument/2006/relationships/sharedStrings" Target="/xl/sharedStrings.xml" Id="R1d767e7c53ee4251" /><Relationship Type="http://schemas.openxmlformats.org/officeDocument/2006/relationships/worksheet" Target="/xl/worksheets/sheet1.xml" Id="R5fdf634462f64263" /><Relationship Type="http://schemas.openxmlformats.org/officeDocument/2006/relationships/worksheet" Target="/xl/worksheets/sheet2.xml" Id="R90cf0732a4ac4911" /><Relationship Type="http://schemas.openxmlformats.org/officeDocument/2006/relationships/worksheet" Target="/xl/worksheets/sheet3.xml" Id="Rb6a429dab73a4e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a657e875e341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4149c06b154b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Risikoscorer pr. identificeret risiko</a:t>
            </a:r>
          </a:p>
        </c:rich>
      </c:tx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0E5F54"/>
            </a:solidFill>
          </c:spPr>
          <c:cat>
            <c:strLit>
              <c:ptCount val="16"/>
              <c:pt idx="0">
                <c:v>R01</c:v>
              </c:pt>
              <c:pt idx="1">
                <c:v>R02</c:v>
              </c:pt>
              <c:pt idx="2">
                <c:v>R03</c:v>
              </c:pt>
              <c:pt idx="3">
                <c:v>R04</c:v>
              </c:pt>
              <c:pt idx="4">
                <c:v>R06</c:v>
              </c:pt>
              <c:pt idx="5">
                <c:v>R07</c:v>
              </c:pt>
              <c:pt idx="6">
                <c:v>R08</c:v>
              </c:pt>
              <c:pt idx="7">
                <c:v>R11</c:v>
              </c:pt>
              <c:pt idx="8">
                <c:v>R05</c:v>
              </c:pt>
              <c:pt idx="9">
                <c:v>R09</c:v>
              </c:pt>
              <c:pt idx="10">
                <c:v>R10</c:v>
              </c:pt>
              <c:pt idx="11">
                <c:v>R13</c:v>
              </c:pt>
              <c:pt idx="12">
                <c:v>R14</c:v>
              </c:pt>
              <c:pt idx="13">
                <c:v>R12</c:v>
              </c:pt>
              <c:pt idx="14">
                <c:v>R15</c:v>
              </c:pt>
              <c:pt idx="15">
                <c:v>R16</c:v>
              </c:pt>
            </c:strLit>
          </c:cat>
          <c:val>
            <c:numLit>
              <c:formatCode/>
              <c:ptCount val="16"/>
              <c:pt idx="0">
                <c:v>20</c:v>
              </c:pt>
              <c:pt idx="1">
                <c:v>20</c:v>
              </c:pt>
              <c:pt idx="2">
                <c:v>16</c:v>
              </c:pt>
              <c:pt idx="3">
                <c:v>16</c:v>
              </c:pt>
              <c:pt idx="4">
                <c:v>16</c:v>
              </c:pt>
              <c:pt idx="5">
                <c:v>16</c:v>
              </c:pt>
              <c:pt idx="6">
                <c:v>15</c:v>
              </c:pt>
              <c:pt idx="7">
                <c:v>16</c:v>
              </c:pt>
              <c:pt idx="8">
                <c:v>12</c:v>
              </c:pt>
              <c:pt idx="9">
                <c:v>12</c:v>
              </c:pt>
              <c:pt idx="10">
                <c:v>12</c:v>
              </c:pt>
              <c:pt idx="11">
                <c:v>12</c:v>
              </c:pt>
              <c:pt idx="12">
                <c:v>12</c:v>
              </c:pt>
              <c:pt idx="13">
                <c:v>9</c:v>
              </c:pt>
              <c:pt idx="14">
                <c:v>9</c:v>
              </c:pt>
              <c:pt idx="15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Modenhedsløft: nu til 24 måneder</a:t>
            </a:r>
          </a:p>
        </c:rich>
      </c:tx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v>Nu</c:v>
          </c:tx>
          <c:spPr>
            <a:solidFill xmlns:a="http://schemas.openxmlformats.org/drawingml/2006/main">
              <a:srgbClr val="D93A31"/>
            </a:solidFill>
          </c:spPr>
          <c:cat>
            <c:strLit>
              <c:ptCount val="10"/>
              <c:pt idx="0">
                <c:v>Governance og sikkerhedspolitik</c:v>
              </c:pt>
              <c:pt idx="1">
                <c:v>Risikostyring og risikoregister</c:v>
              </c:pt>
              <c:pt idx="2">
                <c:v>IAM/MFA og adgangsstyring</c:v>
              </c:pt>
              <c:pt idx="3">
                <c:v>IT/OT segmentering</c:v>
              </c:pt>
              <c:pt idx="4">
                <c:v>OT-sikkerhed og leverandøradgang</c:v>
              </c:pt>
              <c:pt idx="5">
                <c:v>Backup, beredskab, restore-test</c:v>
              </c:pt>
              <c:pt idx="6">
                <c:v>Leverandørstyring og kontraktkrav</c:v>
              </c:pt>
              <c:pt idx="7">
                <c:v>Logning, monitorering, detektion</c:v>
              </c:pt>
              <c:pt idx="8">
                <c:v>Awareness og adfærdsforankring</c:v>
              </c:pt>
              <c:pt idx="9">
                <c:v>Cloud-/platformstyring (lokal vs cloud)</c:v>
              </c:pt>
            </c:strLit>
          </c:cat>
          <c:val>
            <c:numLit>
              <c:formatCode/>
              <c:ptCount val="10"/>
              <c:pt idx="0">
                <c:v>1</c:v>
              </c:pt>
              <c:pt idx="1">
                <c:v>2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1</c:v>
              </c:pt>
              <c:pt idx="7">
                <c:v>1</c:v>
              </c:pt>
              <c:pt idx="8">
                <c:v>2</c:v>
              </c:pt>
              <c:pt idx="9">
                <c:v>1</c:v>
              </c:pt>
            </c:numLit>
          </c:val>
        </c:ser>
        <c:ser>
          <c:idx val="1"/>
          <c:order val="1"/>
          <c:tx>
            <c:v>24 mdr</c:v>
          </c:tx>
          <c:spPr>
            <a:solidFill xmlns:a="http://schemas.openxmlformats.org/drawingml/2006/main">
              <a:srgbClr val="11894F"/>
            </a:solidFill>
          </c:spPr>
          <c:cat>
            <c:strLit>
              <c:ptCount val="10"/>
              <c:pt idx="0">
                <c:v>Governance og sikkerhedspolitik</c:v>
              </c:pt>
              <c:pt idx="1">
                <c:v>Risikostyring og risikoregister</c:v>
              </c:pt>
              <c:pt idx="2">
                <c:v>IAM/MFA og adgangsstyring</c:v>
              </c:pt>
              <c:pt idx="3">
                <c:v>IT/OT segmentering</c:v>
              </c:pt>
              <c:pt idx="4">
                <c:v>OT-sikkerhed og leverandøradgang</c:v>
              </c:pt>
              <c:pt idx="5">
                <c:v>Backup, beredskab, restore-test</c:v>
              </c:pt>
              <c:pt idx="6">
                <c:v>Leverandørstyring og kontraktkrav</c:v>
              </c:pt>
              <c:pt idx="7">
                <c:v>Logning, monitorering, detektion</c:v>
              </c:pt>
              <c:pt idx="8">
                <c:v>Awareness og adfærdsforankring</c:v>
              </c:pt>
              <c:pt idx="9">
                <c:v>Cloud-/platformstyring (lokal vs cloud)</c:v>
              </c:pt>
            </c:strLit>
          </c:cat>
          <c:val>
            <c:numLit>
              <c:formatCode/>
              <c:ptCount val="10"/>
              <c:pt idx="0">
                <c:v>4</c:v>
              </c:pt>
              <c:pt idx="1">
                <c:v>4</c:v>
              </c:pt>
              <c:pt idx="2">
                <c:v>4</c:v>
              </c:pt>
              <c:pt idx="3">
                <c:v>4</c:v>
              </c:pt>
              <c:pt idx="4">
                <c:v>3</c:v>
              </c:pt>
              <c:pt idx="5">
                <c:v>4</c:v>
              </c:pt>
              <c:pt idx="6">
                <c:v>4</c:v>
              </c:pt>
              <c:pt idx="7">
                <c:v>4</c:v>
              </c:pt>
              <c:pt idx="8">
                <c:v>3</c:v>
              </c:pt>
              <c:pt idx="9">
                <c:v>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17</xdr:col>
      <xdr:colOff>0</xdr:colOff>
      <xdr:row>1</xdr:row>
      <xdr:rowOff>0</xdr:rowOff>
    </xdr:from>
    <xdr:ext cx="5334000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a657e875e341ca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1</xdr:row>
      <xdr:rowOff>0</xdr:rowOff>
    </xdr:from>
    <xdr:ext cx="5905500" cy="4191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4149c06b154bad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isikoregister" displayName="Risikoregister" ref="A1:P17" headerRowCount="1">
  <x:tableColumns count="16">
    <x:tableColumn id="1" name="Prio"/>
    <x:tableColumn id="2" name="ID"/>
    <x:tableColumn id="3" name="Top 4"/>
    <x:tableColumn id="4" name="Risiko"/>
    <x:tableColumn id="5" name="S"/>
    <x:tableColumn id="6" name="K"/>
    <x:tableColumn id="7" name="Score"/>
    <x:tableColumn id="8" name="Zone"/>
    <x:tableColumn id="9" name="CIA-fokus"/>
    <x:tableColumn id="10" name="Behandlingsvalg"/>
    <x:tableColumn id="11" name="Kort beskrivelse"/>
    <x:tableColumn id="12" name="Korthandling"/>
    <x:tableColumn id="13" name="Risikoejer"/>
    <x:tableColumn id="14" name="Fase"/>
    <x:tableColumn id="15" name="Status"/>
    <x:tableColumn id="16" name="Kilde/noter"/>
  </x:tableColumns>
  <x:tableStyleInfo name="TableStyleMedium2" showRowStripes="1"/>
</x:table>
</file>

<file path=xl/tables/table2.xml><?xml version="1.0" encoding="utf-8"?>
<x:table xmlns:x="http://schemas.openxmlformats.org/spreadsheetml/2006/main" id="2" name="Modenhedsområder" displayName="Modenhedsområder" ref="A1:J11" headerRowCount="1">
  <x:tableColumns count="10">
    <x:tableColumn id="1" name="Område"/>
    <x:tableColumn id="2" name="Nu"/>
    <x:tableColumn id="3" name="Status nu"/>
    <x:tableColumn id="4" name="12 mdr"/>
    <x:tableColumn id="5" name="Status 12 mdr"/>
    <x:tableColumn id="6" name="24 mdr"/>
    <x:tableColumn id="7" name="Status 24 mdr"/>
    <x:tableColumn id="8" name="Kort begrundelse"/>
    <x:tableColumn id="9" name="Løft 24 mdr"/>
    <x:tableColumn id="10" name="Prioritet"/>
  </x:tableColumns>
  <x:tableStyleInfo name="TableStyleMedium2" showRowStripes="1"/>
</x:table>
</file>

<file path=xl/tables/table3.xml><?xml version="1.0" encoding="utf-8"?>
<x:table xmlns:x="http://schemas.openxmlformats.org/spreadsheetml/2006/main" id="3" name="CSFunktioner" displayName="CSFunktioner" ref="A1:I7" headerRowCount="1">
  <x:tableColumns count="9">
    <x:tableColumn id="1" name="CSF-funktion"/>
    <x:tableColumn id="2" name="Nu"/>
    <x:tableColumn id="3" name="Status nu"/>
    <x:tableColumn id="4" name="12 mdr"/>
    <x:tableColumn id="5" name="Status 12"/>
    <x:tableColumn id="6" name="24 mdr"/>
    <x:tableColumn id="7" name="Status 24"/>
    <x:tableColumn id="8" name="Kommentar"/>
    <x:tableColumn id="9" name="Løft 24 md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2d83fb7a4c4dbb" /><Relationship Type="http://schemas.openxmlformats.org/officeDocument/2006/relationships/table" Target="/xl/tables/table1.xml" Id="R3beda9137d3943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3a8759bc0a54891" /><Relationship Type="http://schemas.openxmlformats.org/officeDocument/2006/relationships/table" Target="/xl/tables/table2.xml" Id="R33cf4f51f7a246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fa5b6b833c476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42" hidden="0" customWidth="1"/>
    <x:col min="5" max="5" width="7" hidden="0" customWidth="1"/>
    <x:col min="6" max="6" width="7" hidden="0" customWidth="1"/>
    <x:col min="7" max="7" width="10" hidden="0" customWidth="1"/>
    <x:col min="8" max="8" width="10" hidden="0" customWidth="1"/>
    <x:col min="9" max="9" width="12" hidden="0" customWidth="1"/>
    <x:col min="10" max="10" width="18" hidden="0" customWidth="1"/>
    <x:col min="11" max="11" width="42" hidden="0" customWidth="1"/>
    <x:col min="12" max="12" width="38" hidden="0" customWidth="1"/>
    <x:col min="13" max="13" width="24" hidden="0" customWidth="1"/>
    <x:col min="14" max="14" width="10" hidden="0" customWidth="1"/>
    <x:col min="15" max="15" width="24" hidden="0" customWidth="1"/>
    <x:col min="16" max="16" width="32" hidden="0" customWidth="1"/>
  </x:cols>
  <x:sheetData>
    <x:row r="1" ht="15" hidden="0" customHeight="1">
      <x:c r="A1" s="22" t="str">
        <x:v>Prio</x:v>
      </x:c>
      <x:c r="B1" s="22" t="str">
        <x:v>ID</x:v>
      </x:c>
      <x:c r="C1" s="22" t="str">
        <x:v>Top 4</x:v>
      </x:c>
      <x:c r="D1" s="22" t="str">
        <x:v>Risiko</x:v>
      </x:c>
      <x:c r="E1" s="22" t="str">
        <x:v>S</x:v>
      </x:c>
      <x:c r="F1" s="22" t="str">
        <x:v>K</x:v>
      </x:c>
      <x:c r="G1" s="22" t="str">
        <x:v>Score</x:v>
      </x:c>
      <x:c r="H1" s="22" t="str">
        <x:v>Zone</x:v>
      </x:c>
      <x:c r="I1" s="22" t="str">
        <x:v>CIA-fokus</x:v>
      </x:c>
      <x:c r="J1" s="22" t="str">
        <x:v>Behandlingsvalg</x:v>
      </x:c>
      <x:c r="K1" s="22" t="str">
        <x:v>Kort beskrivelse</x:v>
      </x:c>
      <x:c r="L1" s="22" t="str">
        <x:v>Korthandling</x:v>
      </x:c>
      <x:c r="M1" s="22" t="str">
        <x:v>Risikoejer</x:v>
      </x:c>
      <x:c r="N1" s="22" t="str">
        <x:v>Fase</x:v>
      </x:c>
      <x:c r="O1" s="22" t="str">
        <x:v>Status</x:v>
      </x:c>
      <x:c r="P1" s="22" t="str">
        <x:v>Kilde/noter</x:v>
      </x:c>
    </x:row>
    <x:row r="2">
      <x:c r="A2" s="23" t="n">
        <x:v>1</x:v>
      </x:c>
      <x:c r="B2" s="23" t="str">
        <x:v>R01</x:v>
      </x:c>
      <x:c r="C2" s="23" t="str">
        <x:v>Ja</x:v>
      </x:c>
      <x:c r="D2" s="23" t="str">
        <x:v>Ukontrolleret OT-fjernadgang via leverandør/hjemmeadgang</x:v>
      </x:c>
      <x:c r="E2" s="23" t="n">
        <x:v>4</x:v>
      </x:c>
      <x:c r="F2" s="23" t="n">
        <x:v>5</x:v>
      </x:c>
      <x:c r="G2" s="23" t="n">
        <x:f>E2*F2</x:f>
        <x:v>20</x:v>
      </x:c>
      <x:c r="H2" s="23" t="str">
        <x:f>IF(G2&gt;=11,"RØD",IF(G2&gt;=8,"GUL","GRØN"))</x:f>
        <x:v>RØD</x:v>
      </x:c>
      <x:c r="I2" s="23" t="str">
        <x:v>I/A</x:v>
      </x:c>
      <x:c r="J2" s="23" t="str">
        <x:v>Mitigere</x:v>
      </x:c>
      <x:c r="K2" s="23" t="str">
        <x:v>Høj driftsrisiko; uklar godkendelse; potentielt misbrug af adgang</x:v>
      </x:c>
      <x:c r="L2" s="23" t="str">
        <x:v>Luk åben remote-adgang, brug MFA og tidsstyret adgang</x:v>
      </x:c>
      <x:c r="M2" s="23" t="str">
        <x:v>IT-drift + OT-lead</x:v>
      </x:c>
      <x:c r="N2" s="23" t="str">
        <x:v>F1-F2</x:v>
      </x:c>
      <x:c r="O2" s="23" t="str">
        <x:v>Prioriteret</x:v>
      </x:c>
      <x:c r="P2" s="23" t="str">
        <x:v>Risikoregister + slides; top 4</x:v>
      </x:c>
    </x:row>
    <x:row r="3">
      <x:c r="A3" s="23" t="n">
        <x:v>2</x:v>
      </x:c>
      <x:c r="B3" s="23" t="str">
        <x:v>R02</x:v>
      </x:c>
      <x:c r="C3" s="23" t="str">
        <x:v>Ja</x:v>
      </x:c>
      <x:c r="D3" s="23" t="str">
        <x:v>Manglende backup/restore-test på robotter/økonomi</x:v>
      </x:c>
      <x:c r="E3" s="23" t="n">
        <x:v>4</x:v>
      </x:c>
      <x:c r="F3" s="23" t="n">
        <x:v>5</x:v>
      </x:c>
      <x:c r="G3" s="23" t="n">
        <x:f>E3*F3</x:f>
        <x:v>20</x:v>
      </x:c>
      <x:c r="H3" s="23" t="str">
        <x:f>IF(G3&gt;=11,"RØD",IF(G3&gt;=8,"GUL","GRØN"))</x:f>
        <x:v>RØD</x:v>
      </x:c>
      <x:c r="I3" s="23" t="str">
        <x:v>A/I</x:v>
      </x:c>
      <x:c r="J3" s="23" t="str">
        <x:v>Mitigere</x:v>
      </x:c>
      <x:c r="K3" s="23" t="str">
        <x:v>Gendannelse er usikker; historik viser reel nedetid ved hændelser</x:v>
      </x:c>
      <x:c r="L3" s="23" t="str">
        <x:v>3-2-1 backup + månedlig restore-test</x:v>
      </x:c>
      <x:c r="M3" s="23" t="str">
        <x:v>IT + OT</x:v>
      </x:c>
      <x:c r="N3" s="23" t="str">
        <x:v>F1-F2</x:v>
      </x:c>
      <x:c r="O3" s="23" t="str">
        <x:v>Prioriteret</x:v>
      </x:c>
      <x:c r="P3" s="23" t="str">
        <x:v>Risikoregister + slides; top 4</x:v>
      </x:c>
    </x:row>
    <x:row r="4">
      <x:c r="A4" s="23" t="n">
        <x:v>3</x:v>
      </x:c>
      <x:c r="B4" s="23" t="str">
        <x:v>R03</x:v>
      </x:c>
      <x:c r="C4" s="23" t="str">
        <x:v>Ja</x:v>
      </x:c>
      <x:c r="D4" s="23" t="str">
        <x:v>Fladt IT/OT-netværk (lateral bevægelse)</x:v>
      </x:c>
      <x:c r="E4" s="23" t="n">
        <x:v>4</x:v>
      </x:c>
      <x:c r="F4" s="23" t="n">
        <x:v>4</x:v>
      </x:c>
      <x:c r="G4" s="23" t="n">
        <x:f>E4*F4</x:f>
        <x:v>16</x:v>
      </x:c>
      <x:c r="H4" s="23" t="str">
        <x:f>IF(G4&gt;=11,"RØD",IF(G4&gt;=8,"GUL","GRØN"))</x:f>
        <x:v>RØD</x:v>
      </x:c>
      <x:c r="I4" s="23" t="str">
        <x:v>C/I/A</x:v>
      </x:c>
      <x:c r="J4" s="23" t="str">
        <x:v>Mitigere</x:v>
      </x:c>
      <x:c r="K4" s="23" t="str">
        <x:v>Angreb kan sprede sig mellem administration og produktion</x:v>
      </x:c>
      <x:c r="L4" s="23" t="str">
        <x:v>Segmentér IT/OT og etabler OT-DMZ</x:v>
      </x:c>
      <x:c r="M4" s="23" t="str">
        <x:v>OT-lead + netværk</x:v>
      </x:c>
      <x:c r="N4" s="23" t="str">
        <x:v>F1-F2</x:v>
      </x:c>
      <x:c r="O4" s="23" t="str">
        <x:v>Prioriteret</x:v>
      </x:c>
      <x:c r="P4" s="23" t="str">
        <x:v>Risikoregister + slides; top 4</x:v>
      </x:c>
    </x:row>
    <x:row r="5">
      <x:c r="A5" s="23" t="n">
        <x:v>4</x:v>
      </x:c>
      <x:c r="B5" s="23" t="str">
        <x:v>R04</x:v>
      </x:c>
      <x:c r="C5" s="23" t="str">
        <x:v>Ja</x:v>
      </x:c>
      <x:c r="D5" s="23" t="str">
        <x:v>Shadow IT (Proshop-server + gratis antivirus)</x:v>
      </x:c>
      <x:c r="E5" s="23" t="n">
        <x:v>4</x:v>
      </x:c>
      <x:c r="F5" s="23" t="n">
        <x:v>4</x:v>
      </x:c>
      <x:c r="G5" s="23" t="n">
        <x:f>E5*F5</x:f>
        <x:v>16</x:v>
      </x:c>
      <x:c r="H5" s="23" t="str">
        <x:f>IF(G5&gt;=11,"RØD",IF(G5&gt;=8,"GUL","GRØN"))</x:f>
        <x:v>RØD</x:v>
      </x:c>
      <x:c r="I5" s="23" t="str">
        <x:v>C/I/A</x:v>
      </x:c>
      <x:c r="J5" s="23" t="str">
        <x:v>Undgå + Mitigere</x:v>
      </x:c>
      <x:c r="K5" s="23" t="str">
        <x:v>Uautoriseret drift uden governance; høj fejl- og kompromisrisiko</x:v>
      </x:c>
      <x:c r="L5" s="23" t="str">
        <x:v>Udfas shadow IT og migrér til styret platform</x:v>
      </x:c>
      <x:c r="M5" s="23" t="str">
        <x:v>Kasim + IT/systemejer</x:v>
      </x:c>
      <x:c r="N5" s="23" t="str">
        <x:v>F1-F2</x:v>
      </x:c>
      <x:c r="O5" s="23" t="str">
        <x:v>Prioriteret</x:v>
      </x:c>
      <x:c r="P5" s="23" t="str">
        <x:v>Risikoregister + slides; top 4</x:v>
      </x:c>
    </x:row>
    <x:row r="6">
      <x:c r="A6" s="23" t="n">
        <x:v>5</x:v>
      </x:c>
      <x:c r="B6" s="23" t="str">
        <x:v>R06</x:v>
      </x:c>
      <x:c r="C6" s="23" t="str">
        <x:v>Nej</x:v>
      </x:c>
      <x:c r="D6" s="23" t="str">
        <x:v>Svag IAM/MFA og privilegerede adgange</x:v>
      </x:c>
      <x:c r="E6" s="23" t="n">
        <x:v>4</x:v>
      </x:c>
      <x:c r="F6" s="23" t="n">
        <x:v>4</x:v>
      </x:c>
      <x:c r="G6" s="23" t="n">
        <x:f>E6*F6</x:f>
        <x:v>16</x:v>
      </x:c>
      <x:c r="H6" s="23" t="str">
        <x:f>IF(G6&gt;=11,"RØD",IF(G6&gt;=8,"GUL","GRØN"))</x:f>
        <x:v>RØD</x:v>
      </x:c>
      <x:c r="I6" s="23" t="str">
        <x:v>C/I</x:v>
      </x:c>
      <x:c r="J6" s="23" t="str">
        <x:v>Mitigere</x:v>
      </x:c>
      <x:c r="K6" s="23" t="str">
        <x:v>For brede rettigheder; manglende recertificering</x:v>
      </x:c>
      <x:c r="L6" s="23" t="str">
        <x:v>MFA + least privilege + recertificering</x:v>
      </x:c>
      <x:c r="M6" s="23" t="str">
        <x:v>IT-drift</x:v>
      </x:c>
      <x:c r="N6" s="23" t="str">
        <x:v>F1-F2</x:v>
      </x:c>
      <x:c r="O6" s="23" t="str">
        <x:v>Næste bølge</x:v>
      </x:c>
      <x:c r="P6" s="23" t="str">
        <x:v>Risikoregister</x:v>
      </x:c>
    </x:row>
    <x:row r="7">
      <x:c r="A7" s="23" t="n">
        <x:v>6</x:v>
      </x:c>
      <x:c r="B7" s="23" t="str">
        <x:v>R07</x:v>
      </x:c>
      <x:c r="C7" s="23" t="str">
        <x:v>Nej</x:v>
      </x:c>
      <x:c r="D7" s="23" t="str">
        <x:v>Leverandørstyring uden tydelige sikkerhedskrav i kontrakter</x:v>
      </x:c>
      <x:c r="E7" s="23" t="n">
        <x:v>4</x:v>
      </x:c>
      <x:c r="F7" s="23" t="n">
        <x:v>4</x:v>
      </x:c>
      <x:c r="G7" s="23" t="n">
        <x:f>E7*F7</x:f>
        <x:v>16</x:v>
      </x:c>
      <x:c r="H7" s="23" t="str">
        <x:f>IF(G7&gt;=11,"RØD",IF(G7&gt;=8,"GUL","GRØN"))</x:f>
        <x:v>RØD</x:v>
      </x:c>
      <x:c r="I7" s="23" t="str">
        <x:v>C/I/A</x:v>
      </x:c>
      <x:c r="J7" s="23" t="str">
        <x:v>Overføre + Mitigere</x:v>
      </x:c>
      <x:c r="K7" s="23" t="str">
        <x:v>Tredjepart kan påvirke drift/data; uklart ansvar ved hændelser</x:v>
      </x:c>
      <x:c r="L7" s="23" t="str">
        <x:v>Sikkerhedsbilag, SLA, revisionsret og exitkrav</x:v>
      </x:c>
      <x:c r="M7" s="23" t="str">
        <x:v>Kasim + indkøb</x:v>
      </x:c>
      <x:c r="N7" s="23" t="str">
        <x:v>F1-F3</x:v>
      </x:c>
      <x:c r="O7" s="23" t="str">
        <x:v>Næste bølge</x:v>
      </x:c>
      <x:c r="P7" s="23" t="str">
        <x:v>Risikoregister + initiativkatalog</x:v>
      </x:c>
    </x:row>
    <x:row r="8">
      <x:c r="A8" s="23" t="n">
        <x:v>7</x:v>
      </x:c>
      <x:c r="B8" s="23" t="str">
        <x:v>R08</x:v>
      </x:c>
      <x:c r="C8" s="23" t="str">
        <x:v>Nej</x:v>
      </x:c>
      <x:c r="D8" s="23" t="str">
        <x:v>IP-tyveri/industrispionage (CAD/prototyper)</x:v>
      </x:c>
      <x:c r="E8" s="23" t="n">
        <x:v>3</x:v>
      </x:c>
      <x:c r="F8" s="23" t="n">
        <x:v>5</x:v>
      </x:c>
      <x:c r="G8" s="23" t="n">
        <x:f>E8*F8</x:f>
        <x:v>15</x:v>
      </x:c>
      <x:c r="H8" s="23" t="str">
        <x:f>IF(G8&gt;=11,"RØD",IF(G8&gt;=8,"GUL","GRØN"))</x:f>
        <x:v>RØD</x:v>
      </x:c>
      <x:c r="I8" s="23" t="str">
        <x:v>C/I</x:v>
      </x:c>
      <x:c r="J8" s="23" t="str">
        <x:v>Mitigere</x:v>
      </x:c>
      <x:c r="K8" s="23" t="str">
        <x:v>Risiko for tab af konkurrencefordel og produktviden</x:v>
      </x:c>
      <x:c r="L8" s="23" t="str">
        <x:v>Dataklassifikation + adgangsstyring + fysisk sikring</x:v>
      </x:c>
      <x:c r="M8" s="23" t="str">
        <x:v>Udvikling + sikkerhedsansvarlig</x:v>
      </x:c>
      <x:c r="N8" s="23" t="str">
        <x:v>F1-F2</x:v>
      </x:c>
      <x:c r="O8" s="23" t="str">
        <x:v>Næste bølge</x:v>
      </x:c>
      <x:c r="P8" s="23" t="str">
        <x:v>Risikoregister + caseanalyse</x:v>
      </x:c>
    </x:row>
    <x:row r="9">
      <x:c r="A9" s="23" t="n">
        <x:v>8</x:v>
      </x:c>
      <x:c r="B9" s="23" t="str">
        <x:v>R11</x:v>
      </x:c>
      <x:c r="C9" s="23" t="str">
        <x:v>Nej</x:v>
      </x:c>
      <x:c r="D9" s="23" t="str">
        <x:v>Ransomware mod økonomi-/administrationssystemer</x:v>
      </x:c>
      <x:c r="E9" s="23" t="n">
        <x:v>4</x:v>
      </x:c>
      <x:c r="F9" s="23" t="n">
        <x:v>4</x:v>
      </x:c>
      <x:c r="G9" s="23" t="n">
        <x:f>E9*F9</x:f>
        <x:v>16</x:v>
      </x:c>
      <x:c r="H9" s="23" t="str">
        <x:f>IF(G9&gt;=11,"RØD",IF(G9&gt;=8,"GUL","GRØN"))</x:f>
        <x:v>RØD</x:v>
      </x:c>
      <x:c r="I9" s="23" t="str">
        <x:v>I/A</x:v>
      </x:c>
      <x:c r="J9" s="23" t="str">
        <x:v>Mitigere</x:v>
      </x:c>
      <x:c r="K9" s="23" t="str">
        <x:v>Kan stoppe fakturering og bogføring; hændelse er set i casen</x:v>
      </x:c>
      <x:c r="L9" s="23" t="str">
        <x:v>EDR, mailkontroller, segmentering, restore-øvelser</x:v>
      </x:c>
      <x:c r="M9" s="23" t="str">
        <x:v>IT-drift + økonomi</x:v>
      </x:c>
      <x:c r="N9" s="23" t="str">
        <x:v>F2-F3</x:v>
      </x:c>
      <x:c r="O9" s="23" t="str">
        <x:v>Næste bølge</x:v>
      </x:c>
      <x:c r="P9" s="23" t="str">
        <x:v>Risikoregister + casehændelse</x:v>
      </x:c>
    </x:row>
    <x:row r="10">
      <x:c r="A10" s="23" t="n">
        <x:v>9</x:v>
      </x:c>
      <x:c r="B10" s="23" t="str">
        <x:v>R05</x:v>
      </x:c>
      <x:c r="C10" s="23" t="str">
        <x:v>Nej</x:v>
      </x:c>
      <x:c r="D10" s="23" t="str">
        <x:v>Uklar cloud-vs-lokal strategi for regnskab/forretningssystemer</x:v>
      </x:c>
      <x:c r="E10" s="23" t="n">
        <x:v>3</x:v>
      </x:c>
      <x:c r="F10" s="23" t="n">
        <x:v>4</x:v>
      </x:c>
      <x:c r="G10" s="23" t="n">
        <x:f>E10*F10</x:f>
        <x:v>12</x:v>
      </x:c>
      <x:c r="H10" s="23" t="str">
        <x:f>IF(G10&gt;=11,"RØD",IF(G10&gt;=8,"GUL","GRØN"))</x:f>
        <x:v>RØD</x:v>
      </x:c>
      <x:c r="I10" s="23" t="str">
        <x:v>C/I/A</x:v>
      </x:c>
      <x:c r="J10" s="23" t="str">
        <x:v>Mitigere + Overføre</x:v>
      </x:c>
      <x:c r="K10" s="23" t="str">
        <x:v>Beslutninger tages ad hoc; uklar ansvarsdeling mellem driftspartnere</x:v>
      </x:c>
      <x:c r="L10" s="23" t="str">
        <x:v>Fast driftsmodel (cloud/lokal/hybrid) + leverandørkrav</x:v>
      </x:c>
      <x:c r="M10" s="23" t="str">
        <x:v>Kasim + økonomi + IT</x:v>
      </x:c>
      <x:c r="N10" s="23" t="str">
        <x:v>F1-F3</x:v>
      </x:c>
      <x:c r="O10" s="23" t="str">
        <x:v>Planlagt</x:v>
      </x:c>
      <x:c r="P10" s="23" t="str">
        <x:v>Risikoregister + slides</x:v>
      </x:c>
    </x:row>
    <x:row r="11">
      <x:c r="A11" s="23" t="n">
        <x:v>10</x:v>
      </x:c>
      <x:c r="B11" s="23" t="str">
        <x:v>R09</x:v>
      </x:c>
      <x:c r="C11" s="23" t="str">
        <x:v>Nej</x:v>
      </x:c>
      <x:c r="D11" s="23" t="str">
        <x:v>Svag fysisk adgangs- og nøglestyring</x:v>
      </x:c>
      <x:c r="E11" s="23" t="n">
        <x:v>3</x:v>
      </x:c>
      <x:c r="F11" s="23" t="n">
        <x:v>4</x:v>
      </x:c>
      <x:c r="G11" s="23" t="n">
        <x:f>E11*F11</x:f>
        <x:v>12</x:v>
      </x:c>
      <x:c r="H11" s="23" t="str">
        <x:f>IF(G11&gt;=11,"RØD",IF(G11&gt;=8,"GUL","GRØN"))</x:f>
        <x:v>RØD</x:v>
      </x:c>
      <x:c r="I11" s="23" t="str">
        <x:v>C/A</x:v>
      </x:c>
      <x:c r="J11" s="23" t="str">
        <x:v>Mitigere</x:v>
      </x:c>
      <x:c r="K11" s="23" t="str">
        <x:v>Fysiske indbrud, nøgler og lagerkontrol kan ramme IP, drift og kritiske komponenter</x:v>
      </x:c>
      <x:c r="L11" s="23" t="str">
        <x:v>Adgangspolitik, nøgleproces, besøgslog og zonering</x:v>
      </x:c>
      <x:c r="M11" s="23" t="str">
        <x:v>Drift/facility + produktionsledelse</x:v>
      </x:c>
      <x:c r="N11" s="23" t="str">
        <x:v>F1-F2</x:v>
      </x:c>
      <x:c r="O11" s="23" t="str">
        <x:v>Tilføjet fra roadmap</x:v>
      </x:c>
      <x:c r="P11" s="23" t="str">
        <x:v>Initiativkatalog I11 + casebeskrivelse</x:v>
      </x:c>
    </x:row>
    <x:row r="12">
      <x:c r="A12" s="23" t="n">
        <x:v>11</x:v>
      </x:c>
      <x:c r="B12" s="23" t="str">
        <x:v>R10</x:v>
      </x:c>
      <x:c r="C12" s="23" t="str">
        <x:v>Nej</x:v>
      </x:c>
      <x:c r="D12" s="23" t="str">
        <x:v>Svag detektion: unormal trafik opdages ikke rettidigt</x:v>
      </x:c>
      <x:c r="E12" s="23" t="n">
        <x:v>4</x:v>
      </x:c>
      <x:c r="F12" s="23" t="n">
        <x:v>3</x:v>
      </x:c>
      <x:c r="G12" s="23" t="n">
        <x:f>E12*F12</x:f>
        <x:v>12</x:v>
      </x:c>
      <x:c r="H12" s="23" t="str">
        <x:f>IF(G12&gt;=11,"RØD",IF(G12&gt;=8,"GUL","GRØN"))</x:f>
        <x:v>RØD</x:v>
      </x:c>
      <x:c r="I12" s="23" t="str">
        <x:v>I/A</x:v>
      </x:c>
      <x:c r="J12" s="23" t="str">
        <x:v>Mitigere</x:v>
      </x:c>
      <x:c r="K12" s="23" t="str">
        <x:v>Angreb opdages sent; begrænset alarm- og logkapacitet</x:v>
      </x:c>
      <x:c r="L12" s="23" t="str">
        <x:v>Central logning, use-cases og incident playbooks</x:v>
      </x:c>
      <x:c r="M12" s="23" t="str">
        <x:v>IT-drift + sikkerhedsansvarlig</x:v>
      </x:c>
      <x:c r="N12" s="23" t="str">
        <x:v>F2-F3</x:v>
      </x:c>
      <x:c r="O12" s="23" t="str">
        <x:v>Planlagt</x:v>
      </x:c>
      <x:c r="P12" s="23" t="str">
        <x:v>Risikoregister + overblik</x:v>
      </x:c>
    </x:row>
    <x:row r="13">
      <x:c r="A13" s="23" t="n">
        <x:v>12</x:v>
      </x:c>
      <x:c r="B13" s="23" t="str">
        <x:v>R13</x:v>
      </x:c>
      <x:c r="C13" s="23" t="str">
        <x:v>Nej</x:v>
      </x:c>
      <x:c r="D13" s="23" t="str">
        <x:v>AI-datalæk via uautoriserede GenAI-værktøjer</x:v>
      </x:c>
      <x:c r="E13" s="23" t="n">
        <x:v>3</x:v>
      </x:c>
      <x:c r="F13" s="23" t="n">
        <x:v>4</x:v>
      </x:c>
      <x:c r="G13" s="23" t="n">
        <x:f>E13*F13</x:f>
        <x:v>12</x:v>
      </x:c>
      <x:c r="H13" s="23" t="str">
        <x:f>IF(G13&gt;=11,"RØD",IF(G13&gt;=8,"GUL","GRØN"))</x:f>
        <x:v>RØD</x:v>
      </x:c>
      <x:c r="I13" s="23" t="str">
        <x:v>C/I</x:v>
      </x:c>
      <x:c r="J13" s="23" t="str">
        <x:v>Mitigere</x:v>
      </x:c>
      <x:c r="K13" s="23" t="str">
        <x:v>Fortrolige data kan lækkes via uautoriserede AI-tjenester</x:v>
      </x:c>
      <x:c r="L13" s="23" t="str">
        <x:v>AI-politik, AI-register, AI-audit</x:v>
      </x:c>
      <x:c r="M13" s="23" t="str">
        <x:v>Sikkerhedsansvarlig</x:v>
      </x:c>
      <x:c r="N13" s="23" t="str">
        <x:v>F3-F4</x:v>
      </x:c>
      <x:c r="O13" s="23" t="str">
        <x:v>Digital fremtid</x:v>
      </x:c>
      <x:c r="P13" s="23" t="str">
        <x:v>Risikoregister + AI-politik</x:v>
      </x:c>
    </x:row>
    <x:row r="14">
      <x:c r="A14" s="23" t="n">
        <x:v>13</x:v>
      </x:c>
      <x:c r="B14" s="23" t="str">
        <x:v>R14</x:v>
      </x:c>
      <x:c r="C14" s="23" t="str">
        <x:v>Nej</x:v>
      </x:c>
      <x:c r="D14" s="23" t="str">
        <x:v>Manglende governance, roller og formaliseret risikoproces</x:v>
      </x:c>
      <x:c r="E14" s="23" t="n">
        <x:v>3</x:v>
      </x:c>
      <x:c r="F14" s="23" t="n">
        <x:v>4</x:v>
      </x:c>
      <x:c r="G14" s="23" t="n">
        <x:f>E14*F14</x:f>
        <x:v>12</x:v>
      </x:c>
      <x:c r="H14" s="23" t="str">
        <x:f>IF(G14&gt;=11,"RØD",IF(G14&gt;=8,"GUL","GRØN"))</x:f>
        <x:v>RØD</x:v>
      </x:c>
      <x:c r="I14" s="23" t="str">
        <x:v>C/I/A</x:v>
      </x:c>
      <x:c r="J14" s="23" t="str">
        <x:v>Mitigere</x:v>
      </x:c>
      <x:c r="K14" s="23" t="str">
        <x:v>Uklar risikoaccept, ansvar og dokumentation kan svække compliance og kundetillid</x:v>
      </x:c>
      <x:c r="L14" s="23" t="str">
        <x:v>Sikkerhedsstyregruppe, RACI, risikoregister med ejere og ledelsesrapportering</x:v>
      </x:c>
      <x:c r="M14" s="23" t="str">
        <x:v>Direktion + sikkerhedsansvarlig</x:v>
      </x:c>
      <x:c r="N14" s="23" t="str">
        <x:v>F1</x:v>
      </x:c>
      <x:c r="O14" s="23" t="str">
        <x:v>Tilføjet fra roadmap</x:v>
      </x:c>
      <x:c r="P14" s="23" t="str">
        <x:v>Initiativkatalog I01 + overblik/caseanalyse</x:v>
      </x:c>
    </x:row>
    <x:row r="15">
      <x:c r="A15" s="23" t="n">
        <x:v>14</x:v>
      </x:c>
      <x:c r="B15" s="23" t="str">
        <x:v>R12</x:v>
      </x:c>
      <x:c r="C15" s="23" t="str">
        <x:v>Nej</x:v>
      </x:c>
      <x:c r="D15" s="23" t="str">
        <x:v>Hjemmearbejde uden fælles sikkerhedsbaseline</x:v>
      </x:c>
      <x:c r="E15" s="23" t="n">
        <x:v>3</x:v>
      </x:c>
      <x:c r="F15" s="23" t="n">
        <x:v>3</x:v>
      </x:c>
      <x:c r="G15" s="23" t="n">
        <x:f>E15*F15</x:f>
        <x:v>9</x:v>
      </x:c>
      <x:c r="H15" s="23" t="str">
        <x:f>IF(G15&gt;=11,"RØD",IF(G15&gt;=8,"GUL","GRØN"))</x:f>
        <x:v>GUL</x:v>
      </x:c>
      <x:c r="I15" s="23" t="str">
        <x:v>C/I/A</x:v>
      </x:c>
      <x:c r="J15" s="23" t="str">
        <x:v>Mitigere</x:v>
      </x:c>
      <x:c r="K15" s="23" t="str">
        <x:v>Varierende sikkerhed på enheder/adgange ved skalering</x:v>
      </x:c>
      <x:c r="L15" s="23" t="str">
        <x:v>Home office-standard, managed devices, VPN/MFA</x:v>
      </x:c>
      <x:c r="M15" s="23" t="str">
        <x:v>HR + IT-drift</x:v>
      </x:c>
      <x:c r="N15" s="23" t="str">
        <x:v>F3</x:v>
      </x:c>
      <x:c r="O15" s="23" t="str">
        <x:v>Digital fremtid</x:v>
      </x:c>
      <x:c r="P15" s="23" t="str">
        <x:v>Risikoregister + initiativkatalog</x:v>
      </x:c>
    </x:row>
    <x:row r="16">
      <x:c r="A16" s="23" t="n">
        <x:v>15</x:v>
      </x:c>
      <x:c r="B16" s="23" t="str">
        <x:v>R15</x:v>
      </x:c>
      <x:c r="C16" s="23" t="str">
        <x:v>Nej</x:v>
      </x:c>
      <x:c r="D16" s="23" t="str">
        <x:v>BEC/deepfake mod ledelse og økonomi</x:v>
      </x:c>
      <x:c r="E16" s="23" t="n">
        <x:v>3</x:v>
      </x:c>
      <x:c r="F16" s="23" t="n">
        <x:v>3</x:v>
      </x:c>
      <x:c r="G16" s="23" t="n">
        <x:f>E16*F16</x:f>
        <x:v>9</x:v>
      </x:c>
      <x:c r="H16" s="23" t="str">
        <x:f>IF(G16&gt;=11,"RØD",IF(G16&gt;=8,"GUL","GRØN"))</x:f>
        <x:v>GUL</x:v>
      </x:c>
      <x:c r="I16" s="23" t="str">
        <x:v>C/I</x:v>
      </x:c>
      <x:c r="J16" s="23" t="str">
        <x:v>Mitigere</x:v>
      </x:c>
      <x:c r="K16" s="23" t="str">
        <x:v>Målrettet social engineering kan give økonomisk tab</x:v>
      </x:c>
      <x:c r="L16" s="23" t="str">
        <x:v>Callback-procedure + 2-personers godkendelse</x:v>
      </x:c>
      <x:c r="M16" s="23" t="str">
        <x:v>Økonomi + direktion</x:v>
      </x:c>
      <x:c r="N16" s="23" t="str">
        <x:v>F2-F3</x:v>
      </x:c>
      <x:c r="O16" s="23" t="str">
        <x:v>Digital fremtid</x:v>
      </x:c>
      <x:c r="P16" s="23" t="str">
        <x:v>Risikoregister + trusselsbillede</x:v>
      </x:c>
    </x:row>
    <x:row r="17">
      <x:c r="A17" s="23" t="n">
        <x:v>16</x:v>
      </x:c>
      <x:c r="B17" s="23" t="str">
        <x:v>R16</x:v>
      </x:c>
      <x:c r="C17" s="23" t="str">
        <x:v>Nej</x:v>
      </x:c>
      <x:c r="D17" s="23" t="str">
        <x:v>Nedetid på ikke-kritisk brochurewebsite</x:v>
      </x:c>
      <x:c r="E17" s="23" t="n">
        <x:v>2</x:v>
      </x:c>
      <x:c r="F17" s="23" t="n">
        <x:v>2</x:v>
      </x:c>
      <x:c r="G17" s="23" t="n">
        <x:f>E17*F17</x:f>
        <x:v>4</x:v>
      </x:c>
      <x:c r="H17" s="23" t="str">
        <x:f>IF(G17&gt;=11,"RØD",IF(G17&gt;=8,"GUL","GRØN"))</x:f>
        <x:v>GRØN</x:v>
      </x:c>
      <x:c r="I17" s="23" t="str">
        <x:v>A</x:v>
      </x:c>
      <x:c r="J17" s="23" t="str">
        <x:v>Acceptere</x:v>
      </x:c>
      <x:c r="K17" s="23" t="str">
        <x:v>Lav forretningspåvirkning og begrænset kritikalitet</x:v>
      </x:c>
      <x:c r="L17" s="23" t="str">
        <x:v>Basal monitorering og planlagt servicevindue</x:v>
      </x:c>
      <x:c r="M17" s="23" t="str">
        <x:v>IT + marketing/salg</x:v>
      </x:c>
      <x:c r="N17" s="23" t="str">
        <x:v>F2-F4</x:v>
      </x:c>
      <x:c r="O17" s="23" t="str">
        <x:v>Accepteres med monitorering</x:v>
      </x:c>
      <x:c r="P17" s="23" t="str">
        <x:v>Risikoregister</x:v>
      </x:c>
    </x:row>
  </x:sheetData>
  <x:conditionalFormatting sqref="G2:G17">
    <x:cfRule type="colorScale" priority="1">
      <x:colorScale>
        <x:cfvo type="min"/>
        <x:cfvo type="percentile" val="50"/>
        <x:cfvo type="max"/>
        <x:color rgb="DFF4E8"/>
        <x:color rgb="FFF0C2"/>
        <x:color rgb="FCE4E1"/>
      </x:colorScale>
    </x:cfRule>
  </x:conditionalFormatting>
  <x:conditionalFormatting sqref="H2:H17">
    <x:cfRule type="containsText" dxfId="0" priority="2" operator="containsText" text="RØD"/>
    <x:cfRule type="containsText" dxfId="1" priority="3" operator="containsText" text="GUL"/>
    <x:cfRule type="containsText" dxfId="2" priority="4" operator="containsText" text="GRØN"/>
  </x:conditionalFormatting>
  <x:conditionalFormatting sqref="C2:C17">
    <x:cfRule type="containsText" dxfId="3" priority="5" operator="containsText" text="Ja"/>
  </x:conditionalFormatting>
  <x:pageMargins left="0.7" right="0.7" top="0.75" bottom="0.75" header="0.3" footer="0.3"/>
  <x:drawing xmlns:r="http://schemas.openxmlformats.org/officeDocument/2006/relationships" r:id="Ra62d83fb7a4c4dbb"/>
  <x:tableParts count="1">
    <x:tablePart xmlns:r="http://schemas.openxmlformats.org/officeDocument/2006/relationships" r:id="R3beda9137d3943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" hidden="0" customWidth="1"/>
    <x:col min="3" max="3" width="12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56" hidden="0" customWidth="1"/>
    <x:col min="9" max="9" width="12" hidden="0" customWidth="1"/>
    <x:col min="10" max="10" width="18" hidden="0" customWidth="1"/>
  </x:cols>
  <x:sheetData>
    <x:row r="1" ht="15" hidden="0" customHeight="1">
      <x:c r="A1" s="22" t="str">
        <x:v>Område</x:v>
      </x:c>
      <x:c r="B1" s="22" t="str">
        <x:v>Nu</x:v>
      </x:c>
      <x:c r="C1" s="22" t="str">
        <x:v>Status nu</x:v>
      </x:c>
      <x:c r="D1" s="22" t="str">
        <x:v>12 mdr</x:v>
      </x:c>
      <x:c r="E1" s="22" t="str">
        <x:v>Status 12 mdr</x:v>
      </x:c>
      <x:c r="F1" s="22" t="str">
        <x:v>24 mdr</x:v>
      </x:c>
      <x:c r="G1" s="22" t="str">
        <x:v>Status 24 mdr</x:v>
      </x:c>
      <x:c r="H1" s="22" t="str">
        <x:v>Kort begrundelse</x:v>
      </x:c>
      <x:c r="I1" s="22" t="str">
        <x:v>Løft 24 mdr</x:v>
      </x:c>
      <x:c r="J1" s="22" t="str">
        <x:v>Prioritet</x:v>
      </x:c>
    </x:row>
    <x:row r="2">
      <x:c r="A2" s="23" t="str">
        <x:v>Governance og sikkerhedspolitik</x:v>
      </x:c>
      <x:c r="B2" s="23" t="n">
        <x:v>1</x:v>
      </x:c>
      <x:c r="C2" s="23" t="str">
        <x:v>RØD</x:v>
      </x:c>
      <x:c r="D2" s="23" t="n">
        <x:v>3</x:v>
      </x:c>
      <x:c r="E2" s="23" t="str">
        <x:v>GUL</x:v>
      </x:c>
      <x:c r="F2" s="23" t="n">
        <x:v>4</x:v>
      </x:c>
      <x:c r="G2" s="23" t="str">
        <x:v>GRØN</x:v>
      </x:c>
      <x:c r="H2" s="23" t="str">
        <x:v>Ingen samlet styringsmodel i udgangspunktet</x:v>
      </x:c>
      <x:c r="I2" s="23" t="n">
        <x:f>F2-B2</x:f>
        <x:v>3</x:v>
      </x:c>
      <x:c r="J2" s="23" t="str">
        <x:v>Fase 1 fokus</x:v>
      </x:c>
    </x:row>
    <x:row r="3">
      <x:c r="A3" s="23" t="str">
        <x:v>Risikostyring og risikoregister</x:v>
      </x:c>
      <x:c r="B3" s="23" t="n">
        <x:v>2</x:v>
      </x:c>
      <x:c r="C3" s="23" t="str">
        <x:v>GUL</x:v>
      </x:c>
      <x:c r="D3" s="23" t="n">
        <x:v>3</x:v>
      </x:c>
      <x:c r="E3" s="23" t="str">
        <x:v>GUL</x:v>
      </x:c>
      <x:c r="F3" s="23" t="n">
        <x:v>4</x:v>
      </x:c>
      <x:c r="G3" s="23" t="str">
        <x:v>GRØN</x:v>
      </x:c>
      <x:c r="H3" s="23" t="str">
        <x:v>Risici håndteres, men ikke ensartet/formaliseret</x:v>
      </x:c>
      <x:c r="I3" s="23" t="n">
        <x:f>F3-B3</x:f>
        <x:v>2</x:v>
      </x:c>
      <x:c r="J3" s="23" t="str">
        <x:v>Fase 1 fokus</x:v>
      </x:c>
    </x:row>
    <x:row r="4">
      <x:c r="A4" s="23" t="str">
        <x:v>IAM/MFA og adgangsstyring</x:v>
      </x:c>
      <x:c r="B4" s="23" t="n">
        <x:v>1</x:v>
      </x:c>
      <x:c r="C4" s="23" t="str">
        <x:v>RØD</x:v>
      </x:c>
      <x:c r="D4" s="23" t="n">
        <x:v>3</x:v>
      </x:c>
      <x:c r="E4" s="23" t="str">
        <x:v>GUL</x:v>
      </x:c>
      <x:c r="F4" s="23" t="n">
        <x:v>4</x:v>
      </x:c>
      <x:c r="G4" s="23" t="str">
        <x:v>GRØN</x:v>
      </x:c>
      <x:c r="H4" s="23" t="str">
        <x:v>Uens adgangspraksis og uklar remote-adgang</x:v>
      </x:c>
      <x:c r="I4" s="23" t="n">
        <x:f>F4-B4</x:f>
        <x:v>3</x:v>
      </x:c>
      <x:c r="J4" s="23" t="str">
        <x:v>Fase 1-2 fokus</x:v>
      </x:c>
    </x:row>
    <x:row r="5">
      <x:c r="A5" s="23" t="str">
        <x:v>IT/OT segmentering</x:v>
      </x:c>
      <x:c r="B5" s="23" t="n">
        <x:v>1</x:v>
      </x:c>
      <x:c r="C5" s="23" t="str">
        <x:v>RØD</x:v>
      </x:c>
      <x:c r="D5" s="23" t="n">
        <x:v>3</x:v>
      </x:c>
      <x:c r="E5" s="23" t="str">
        <x:v>GUL</x:v>
      </x:c>
      <x:c r="F5" s="23" t="n">
        <x:v>4</x:v>
      </x:c>
      <x:c r="G5" s="23" t="str">
        <x:v>GRØN</x:v>
      </x:c>
      <x:c r="H5" s="23" t="str">
        <x:v>Fladt netværk og høj lateral bevægelsesrisiko</x:v>
      </x:c>
      <x:c r="I5" s="23" t="n">
        <x:f>F5-B5</x:f>
        <x:v>3</x:v>
      </x:c>
      <x:c r="J5" s="23" t="str">
        <x:v>Fase 1-2 fokus</x:v>
      </x:c>
    </x:row>
    <x:row r="6">
      <x:c r="A6" s="23" t="str">
        <x:v>OT-sikkerhed og leverandøradgang</x:v>
      </x:c>
      <x:c r="B6" s="23" t="n">
        <x:v>1</x:v>
      </x:c>
      <x:c r="C6" s="23" t="str">
        <x:v>RØD</x:v>
      </x:c>
      <x:c r="D6" s="23" t="n">
        <x:v>2</x:v>
      </x:c>
      <x:c r="E6" s="23" t="str">
        <x:v>GUL</x:v>
      </x:c>
      <x:c r="F6" s="23" t="n">
        <x:v>3</x:v>
      </x:c>
      <x:c r="G6" s="23" t="str">
        <x:v>GUL</x:v>
      </x:c>
      <x:c r="H6" s="23" t="str">
        <x:v>OT løfter sig ofte langsommere pga. drift/leverandørafhængighed</x:v>
      </x:c>
      <x:c r="I6" s="23" t="n">
        <x:f>F6-B6</x:f>
        <x:v>2</x:v>
      </x:c>
      <x:c r="J6" s="23" t="str">
        <x:v>Fase 2-3 fokus</x:v>
      </x:c>
    </x:row>
    <x:row r="7">
      <x:c r="A7" s="23" t="str">
        <x:v>Backup, beredskab, restore-test</x:v>
      </x:c>
      <x:c r="B7" s="23" t="n">
        <x:v>2</x:v>
      </x:c>
      <x:c r="C7" s="23" t="str">
        <x:v>GUL</x:v>
      </x:c>
      <x:c r="D7" s="23" t="n">
        <x:v>3</x:v>
      </x:c>
      <x:c r="E7" s="23" t="str">
        <x:v>GUL</x:v>
      </x:c>
      <x:c r="F7" s="23" t="n">
        <x:v>4</x:v>
      </x:c>
      <x:c r="G7" s="23" t="str">
        <x:v>GRØN</x:v>
      </x:c>
      <x:c r="H7" s="23" t="str">
        <x:v>Restore er ikke systematisk testet i udgangspunktet</x:v>
      </x:c>
      <x:c r="I7" s="23" t="n">
        <x:f>F7-B7</x:f>
        <x:v>2</x:v>
      </x:c>
      <x:c r="J7" s="23" t="str">
        <x:v>Fase 1-2 fokus</x:v>
      </x:c>
    </x:row>
    <x:row r="8">
      <x:c r="A8" s="23" t="str">
        <x:v>Leverandørstyring og kontraktkrav</x:v>
      </x:c>
      <x:c r="B8" s="23" t="n">
        <x:v>1</x:v>
      </x:c>
      <x:c r="C8" s="23" t="str">
        <x:v>RØD</x:v>
      </x:c>
      <x:c r="D8" s="23" t="n">
        <x:v>3</x:v>
      </x:c>
      <x:c r="E8" s="23" t="str">
        <x:v>GUL</x:v>
      </x:c>
      <x:c r="F8" s="23" t="n">
        <x:v>4</x:v>
      </x:c>
      <x:c r="G8" s="23" t="str">
        <x:v>GRØN</x:v>
      </x:c>
      <x:c r="H8" s="23" t="str">
        <x:v>Krav/SLA/revisionsret er utilstrækkeligt formaliseret</x:v>
      </x:c>
      <x:c r="I8" s="23" t="n">
        <x:f>F8-B8</x:f>
        <x:v>3</x:v>
      </x:c>
      <x:c r="J8" s="23" t="str">
        <x:v>Fase 1-3 fokus</x:v>
      </x:c>
    </x:row>
    <x:row r="9">
      <x:c r="A9" s="23" t="str">
        <x:v>Logning, monitorering, detektion</x:v>
      </x:c>
      <x:c r="B9" s="23" t="n">
        <x:v>1</x:v>
      </x:c>
      <x:c r="C9" s="23" t="str">
        <x:v>RØD</x:v>
      </x:c>
      <x:c r="D9" s="23" t="n">
        <x:v>3</x:v>
      </x:c>
      <x:c r="E9" s="23" t="str">
        <x:v>GUL</x:v>
      </x:c>
      <x:c r="F9" s="23" t="n">
        <x:v>4</x:v>
      </x:c>
      <x:c r="G9" s="23" t="str">
        <x:v>GRØN</x:v>
      </x:c>
      <x:c r="H9" s="23" t="str">
        <x:v>Anomalier opdages ikke robust nok i baseline</x:v>
      </x:c>
      <x:c r="I9" s="23" t="n">
        <x:f>F9-B9</x:f>
        <x:v>3</x:v>
      </x:c>
      <x:c r="J9" s="23" t="str">
        <x:v>Fase 2-3 fokus</x:v>
      </x:c>
    </x:row>
    <x:row r="10">
      <x:c r="A10" s="23" t="str">
        <x:v>Awareness og adfærdsforankring</x:v>
      </x:c>
      <x:c r="B10" s="23" t="n">
        <x:v>2</x:v>
      </x:c>
      <x:c r="C10" s="23" t="str">
        <x:v>GUL</x:v>
      </x:c>
      <x:c r="D10" s="23" t="n">
        <x:v>3</x:v>
      </x:c>
      <x:c r="E10" s="23" t="str">
        <x:v>GUL</x:v>
      </x:c>
      <x:c r="F10" s="23" t="n">
        <x:v>3</x:v>
      </x:c>
      <x:c r="G10" s="23" t="str">
        <x:v>GUL</x:v>
      </x:c>
      <x:c r="H10" s="23" t="str">
        <x:v>Kræver kontinuerlig forankring over tid</x:v>
      </x:c>
      <x:c r="I10" s="23" t="n">
        <x:f>F10-B10</x:f>
        <x:v>1</x:v>
      </x:c>
      <x:c r="J10" s="23" t="str">
        <x:v>Fase 2-4 fokus</x:v>
      </x:c>
    </x:row>
    <x:row r="11">
      <x:c r="A11" s="23" t="str">
        <x:v>Cloud-/platformstyring (lokal vs cloud)</x:v>
      </x:c>
      <x:c r="B11" s="23" t="n">
        <x:v>1</x:v>
      </x:c>
      <x:c r="C11" s="23" t="str">
        <x:v>RØD</x:v>
      </x:c>
      <x:c r="D11" s="23" t="n">
        <x:v>3</x:v>
      </x:c>
      <x:c r="E11" s="23" t="str">
        <x:v>GUL</x:v>
      </x:c>
      <x:c r="F11" s="23" t="n">
        <x:v>4</x:v>
      </x:c>
      <x:c r="G11" s="23" t="str">
        <x:v>GRØN</x:v>
      </x:c>
      <x:c r="H11" s="23" t="str">
        <x:v>Beslutninger tages ad hoc (fx skyggeplatforme)</x:v>
      </x:c>
      <x:c r="I11" s="23" t="n">
        <x:f>F11-B11</x:f>
        <x:v>3</x:v>
      </x:c>
      <x:c r="J11" s="23" t="str">
        <x:v>Fase 1-3 fokus</x:v>
      </x:c>
    </x:row>
  </x:sheetData>
  <x:conditionalFormatting sqref="C2:C11">
    <x:cfRule type="containsText" dxfId="4" priority="1" operator="containsText" text="RØD"/>
    <x:cfRule type="containsText" dxfId="5" priority="2" operator="containsText" text="GUL"/>
    <x:cfRule type="containsText" dxfId="6" priority="3" operator="containsText" text="GRØN"/>
  </x:conditionalFormatting>
  <x:conditionalFormatting sqref="E2:E11">
    <x:cfRule type="containsText" dxfId="7" priority="4" operator="containsText" text="RØD"/>
    <x:cfRule type="containsText" dxfId="8" priority="5" operator="containsText" text="GUL"/>
    <x:cfRule type="containsText" dxfId="9" priority="6" operator="containsText" text="GRØN"/>
  </x:conditionalFormatting>
  <x:conditionalFormatting sqref="G2:G11">
    <x:cfRule type="containsText" dxfId="10" priority="7" operator="containsText" text="RØD"/>
    <x:cfRule type="containsText" dxfId="11" priority="8" operator="containsText" text="GUL"/>
    <x:cfRule type="containsText" dxfId="12" priority="9" operator="containsText" text="GRØN"/>
  </x:conditionalFormatting>
  <x:conditionalFormatting sqref="B2:B11">
    <x:cfRule type="colorScale" priority="10">
      <x:colorScale>
        <x:cfvo type="min"/>
        <x:cfvo type="percentile" val="50"/>
        <x:cfvo type="max"/>
        <x:color rgb="FCE4E1"/>
        <x:color rgb="FFF0C2"/>
        <x:color rgb="DFF4E8"/>
      </x:colorScale>
    </x:cfRule>
  </x:conditionalFormatting>
  <x:conditionalFormatting sqref="F2:F11">
    <x:cfRule type="colorScale" priority="11">
      <x:colorScale>
        <x:cfvo type="min"/>
        <x:cfvo type="percentile" val="50"/>
        <x:cfvo type="max"/>
        <x:color rgb="FCE4E1"/>
        <x:color rgb="FFF0C2"/>
        <x:color rgb="DFF4E8"/>
      </x:colorScale>
    </x:cfRule>
  </x:conditionalFormatting>
  <x:pageMargins left="0.7" right="0.7" top="0.75" bottom="0.75" header="0.3" footer="0.3"/>
  <x:drawing xmlns:r="http://schemas.openxmlformats.org/officeDocument/2006/relationships" r:id="R53a8759bc0a54891"/>
  <x:tableParts count="1">
    <x:tablePart xmlns:r="http://schemas.openxmlformats.org/officeDocument/2006/relationships" r:id="R33cf4f51f7a246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56" hidden="0" customWidth="1"/>
    <x:col min="9" max="9" width="12" hidden="0" customWidth="1"/>
  </x:cols>
  <x:sheetData>
    <x:row r="1" ht="15" hidden="0" customHeight="1">
      <x:c r="A1" s="22" t="str">
        <x:v>CSF-funktion</x:v>
      </x:c>
      <x:c r="B1" s="22" t="str">
        <x:v>Nu</x:v>
      </x:c>
      <x:c r="C1" s="22" t="str">
        <x:v>Status nu</x:v>
      </x:c>
      <x:c r="D1" s="22" t="str">
        <x:v>12 mdr</x:v>
      </x:c>
      <x:c r="E1" s="22" t="str">
        <x:v>Status 12</x:v>
      </x:c>
      <x:c r="F1" s="22" t="str">
        <x:v>24 mdr</x:v>
      </x:c>
      <x:c r="G1" s="22" t="str">
        <x:v>Status 24</x:v>
      </x:c>
      <x:c r="H1" s="22" t="str">
        <x:v>Kommentar</x:v>
      </x:c>
      <x:c r="I1" s="22" t="str">
        <x:v>Løft 24 mdr</x:v>
      </x:c>
    </x:row>
    <x:row r="2">
      <x:c r="A2" s="23" t="str">
        <x:v>Govern</x:v>
      </x:c>
      <x:c r="B2" s="23" t="n">
        <x:v>1</x:v>
      </x:c>
      <x:c r="C2" s="23" t="str">
        <x:v>RØD</x:v>
      </x:c>
      <x:c r="D2" s="23" t="n">
        <x:v>3</x:v>
      </x:c>
      <x:c r="E2" s="23" t="str">
        <x:v>GUL</x:v>
      </x:c>
      <x:c r="F2" s="23" t="n">
        <x:v>4</x:v>
      </x:c>
      <x:c r="G2" s="23" t="str">
        <x:v>GRØN</x:v>
      </x:c>
      <x:c r="H2" s="23" t="str">
        <x:v>Ledelsesforankring og rollemodel modnes i faser</x:v>
      </x:c>
      <x:c r="I2" s="23" t="n">
        <x:f>F2-B2</x:f>
        <x:v>3</x:v>
      </x:c>
    </x:row>
    <x:row r="3">
      <x:c r="A3" s="23" t="str">
        <x:v>Identify</x:v>
      </x:c>
      <x:c r="B3" s="23" t="n">
        <x:v>2</x:v>
      </x:c>
      <x:c r="C3" s="23" t="str">
        <x:v>GUL</x:v>
      </x:c>
      <x:c r="D3" s="23" t="n">
        <x:v>3</x:v>
      </x:c>
      <x:c r="E3" s="23" t="str">
        <x:v>GUL</x:v>
      </x:c>
      <x:c r="F3" s="23" t="n">
        <x:v>4</x:v>
      </x:c>
      <x:c r="G3" s="23" t="str">
        <x:v>GRØN</x:v>
      </x:c>
      <x:c r="H3" s="23" t="str">
        <x:v>Asset- og risikobillede bliver systematisk</x:v>
      </x:c>
      <x:c r="I3" s="23" t="n">
        <x:f>F3-B3</x:f>
        <x:v>2</x:v>
      </x:c>
    </x:row>
    <x:row r="4">
      <x:c r="A4" s="23" t="str">
        <x:v>Protect</x:v>
      </x:c>
      <x:c r="B4" s="23" t="n">
        <x:v>2</x:v>
      </x:c>
      <x:c r="C4" s="23" t="str">
        <x:v>GUL</x:v>
      </x:c>
      <x:c r="D4" s="23" t="n">
        <x:v>3</x:v>
      </x:c>
      <x:c r="E4" s="23" t="str">
        <x:v>GUL</x:v>
      </x:c>
      <x:c r="F4" s="23" t="n">
        <x:v>4</x:v>
      </x:c>
      <x:c r="G4" s="23" t="str">
        <x:v>GRØN</x:v>
      </x:c>
      <x:c r="H4" s="23" t="str">
        <x:v>Basiskontroller bliver standardiseret</x:v>
      </x:c>
      <x:c r="I4" s="23" t="n">
        <x:f>F4-B4</x:f>
        <x:v>2</x:v>
      </x:c>
    </x:row>
    <x:row r="5">
      <x:c r="A5" s="23" t="str">
        <x:v>Detect</x:v>
      </x:c>
      <x:c r="B5" s="23" t="n">
        <x:v>1</x:v>
      </x:c>
      <x:c r="C5" s="23" t="str">
        <x:v>RØD</x:v>
      </x:c>
      <x:c r="D5" s="23" t="n">
        <x:v>2</x:v>
      </x:c>
      <x:c r="E5" s="23" t="str">
        <x:v>GUL</x:v>
      </x:c>
      <x:c r="F5" s="23" t="n">
        <x:v>3</x:v>
      </x:c>
      <x:c r="G5" s="23" t="str">
        <x:v>GUL</x:v>
      </x:c>
      <x:c r="H5" s="23" t="str">
        <x:v>Detektion modnes gradvist via logging/use-cases</x:v>
      </x:c>
      <x:c r="I5" s="23" t="n">
        <x:f>F5-B5</x:f>
        <x:v>2</x:v>
      </x:c>
    </x:row>
    <x:row r="6">
      <x:c r="A6" s="23" t="str">
        <x:v>Respond</x:v>
      </x:c>
      <x:c r="B6" s="23" t="n">
        <x:v>2</x:v>
      </x:c>
      <x:c r="C6" s="23" t="str">
        <x:v>GUL</x:v>
      </x:c>
      <x:c r="D6" s="23" t="n">
        <x:v>3</x:v>
      </x:c>
      <x:c r="E6" s="23" t="str">
        <x:v>GUL</x:v>
      </x:c>
      <x:c r="F6" s="23" t="n">
        <x:v>4</x:v>
      </x:c>
      <x:c r="G6" s="23" t="str">
        <x:v>GRØN</x:v>
      </x:c>
      <x:c r="H6" s="23" t="str">
        <x:v>Incident-processer og øvelser løfter respons</x:v>
      </x:c>
      <x:c r="I6" s="23" t="n">
        <x:f>F6-B6</x:f>
        <x:v>2</x:v>
      </x:c>
    </x:row>
    <x:row r="7">
      <x:c r="A7" s="23" t="str">
        <x:v>Recover</x:v>
      </x:c>
      <x:c r="B7" s="23" t="n">
        <x:v>2</x:v>
      </x:c>
      <x:c r="C7" s="23" t="str">
        <x:v>GUL</x:v>
      </x:c>
      <x:c r="D7" s="23" t="n">
        <x:v>3</x:v>
      </x:c>
      <x:c r="E7" s="23" t="str">
        <x:v>GUL</x:v>
      </x:c>
      <x:c r="F7" s="23" t="n">
        <x:v>4</x:v>
      </x:c>
      <x:c r="G7" s="23" t="str">
        <x:v>GRØN</x:v>
      </x:c>
      <x:c r="H7" s="23" t="str">
        <x:v>Restore-test og recovery-planer professionaliseres</x:v>
      </x:c>
      <x:c r="I7" s="23" t="n">
        <x:f>F7-B7</x:f>
        <x:v>2</x:v>
      </x:c>
    </x:row>
  </x:sheetData>
  <x:conditionalFormatting sqref="C2:C7">
    <x:cfRule type="containsText" dxfId="13" priority="1" operator="containsText" text="RØD"/>
    <x:cfRule type="containsText" dxfId="14" priority="2" operator="containsText" text="GUL"/>
    <x:cfRule type="containsText" dxfId="15" priority="3" operator="containsText" text="GRØN"/>
  </x:conditionalFormatting>
  <x:conditionalFormatting sqref="E2:E7">
    <x:cfRule type="containsText" dxfId="16" priority="4" operator="containsText" text="RØD"/>
    <x:cfRule type="containsText" dxfId="17" priority="5" operator="containsText" text="GUL"/>
    <x:cfRule type="containsText" dxfId="18" priority="6" operator="containsText" text="GRØN"/>
  </x:conditionalFormatting>
  <x:conditionalFormatting sqref="G2:G7">
    <x:cfRule type="containsText" dxfId="19" priority="7" operator="containsText" text="RØD"/>
    <x:cfRule type="containsText" dxfId="20" priority="8" operator="containsText" text="GUL"/>
    <x:cfRule type="containsText" dxfId="21" priority="9" operator="containsText" text="GRØN"/>
  </x:conditionalFormatting>
  <x:pageMargins left="0.7" right="0.7" top="0.75" bottom="0.75" header="0.3" footer="0.3"/>
  <x:tableParts count="1">
    <x:tablePart xmlns:r="http://schemas.openxmlformats.org/officeDocument/2006/relationships" r:id="R72fa5b6b833c4761"/>
  </x:tableParts>
</x:worksheet>
</file>